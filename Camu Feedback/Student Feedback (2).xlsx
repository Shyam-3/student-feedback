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OT LAB\Downloads\"/>
    </mc:Choice>
  </mc:AlternateContent>
  <xr:revisionPtr revIDLastSave="0" documentId="13_ncr:1_{24DCF68C-6F8C-44CD-938A-AA3E037ABD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 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7" i="1"/>
  <c r="B46" i="1"/>
  <c r="C46" i="1" s="1"/>
  <c r="B45" i="1"/>
  <c r="C45" i="1" s="1"/>
  <c r="C48" i="1"/>
  <c r="C47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C49" i="1" l="1"/>
</calcChain>
</file>

<file path=xl/sharedStrings.xml><?xml version="1.0" encoding="utf-8"?>
<sst xmlns="http://schemas.openxmlformats.org/spreadsheetml/2006/main" count="78" uniqueCount="76">
  <si>
    <t>Thiagarajar College of Engineering</t>
  </si>
  <si>
    <t>Student Feedback Report</t>
  </si>
  <si>
    <t>Course Exit Survey | Course Exit Survey | Undergraduate | INFORMATION TECHNOLOGY | 2024-2025 | Department of Information Technology | MOBILE APPLICATION DEVELOPMENT | Even Semester | SECTION D</t>
  </si>
  <si>
    <t>The Report was Generated on : 14-Jan-2026</t>
  </si>
  <si>
    <t>Registration No</t>
  </si>
  <si>
    <t>Average</t>
  </si>
  <si>
    <t>Course:  Relevance to the programme</t>
  </si>
  <si>
    <t>Course: Appropriateness of the course content</t>
  </si>
  <si>
    <t>Course: Appropriateness of the course content with the cognitive level of Course outcomes</t>
  </si>
  <si>
    <t>Course: Assessment Pattern for CAT and terminal examination</t>
  </si>
  <si>
    <t>Course: Course plan and reading materials</t>
  </si>
  <si>
    <t>Course Outcomes: Rate your level of attainment</t>
  </si>
  <si>
    <t>Content Delivery: Availability for clarifying doubts / mentoring</t>
  </si>
  <si>
    <t>Content Delivery: Syllabus coverage as per course plan</t>
  </si>
  <si>
    <t>Content Delivery: Utilizing the class hours effectively with full preparation for the class</t>
  </si>
  <si>
    <t>Content Delivery: Use of black board and active learning methods</t>
  </si>
  <si>
    <t>Content Delivery: Communicate effectively</t>
  </si>
  <si>
    <t>Content Delivery: Relevance to the cognitive level of course outcomes</t>
  </si>
  <si>
    <t>Assessment: Following assessment pattern in CATs</t>
  </si>
  <si>
    <t>Assessment: Correlation of questions in CATs / assignments with cognitive levels of Course Outcomes</t>
  </si>
  <si>
    <t>Assessment: Promptness in evaluating answer scripts</t>
  </si>
  <si>
    <t>Assessment: Effectiveness of Assignments / mini projects / other activities in attaining course outcomes</t>
  </si>
  <si>
    <t>Assessment: Unbiased and fairness in treatment and assessment</t>
  </si>
  <si>
    <t>Couse Outcomes: Give your level of attainment</t>
  </si>
  <si>
    <t>Course Outcomes: Give your level of attainment</t>
  </si>
  <si>
    <t>Your open suggestions</t>
  </si>
  <si>
    <t>917722IT054</t>
  </si>
  <si>
    <t>917722IT005</t>
  </si>
  <si>
    <t>917722IT039</t>
  </si>
  <si>
    <t>2.9</t>
  </si>
  <si>
    <t>917722IT151</t>
  </si>
  <si>
    <t>917722IT102</t>
  </si>
  <si>
    <t>3.3</t>
  </si>
  <si>
    <t>917722IT107</t>
  </si>
  <si>
    <t>917722IT105</t>
  </si>
  <si>
    <t>917722IT017</t>
  </si>
  <si>
    <t>917722IT131</t>
  </si>
  <si>
    <t>917722IT142</t>
  </si>
  <si>
    <t>917722IT014</t>
  </si>
  <si>
    <t>917722IT077</t>
  </si>
  <si>
    <t>917722IT140</t>
  </si>
  <si>
    <t>3.8</t>
  </si>
  <si>
    <t>917722IT117</t>
  </si>
  <si>
    <t>917722IT073</t>
  </si>
  <si>
    <t>917722IT029</t>
  </si>
  <si>
    <t>917722IT043</t>
  </si>
  <si>
    <t>2.5</t>
  </si>
  <si>
    <t>917722IT037</t>
  </si>
  <si>
    <t>917722IT038</t>
  </si>
  <si>
    <t>917722IT079</t>
  </si>
  <si>
    <t>917722IT084</t>
  </si>
  <si>
    <t>3.6</t>
  </si>
  <si>
    <t>917722IT076</t>
  </si>
  <si>
    <t>917722IT125</t>
  </si>
  <si>
    <t>917722IT010</t>
  </si>
  <si>
    <t>917722IT129</t>
  </si>
  <si>
    <t>2.4</t>
  </si>
  <si>
    <t>917722IT025</t>
  </si>
  <si>
    <t>3.1</t>
  </si>
  <si>
    <t>917722IT144</t>
  </si>
  <si>
    <t>917722IT137</t>
  </si>
  <si>
    <t>917722IT091</t>
  </si>
  <si>
    <t>917722IT127</t>
  </si>
  <si>
    <t>4.0</t>
  </si>
  <si>
    <t>917722IT146</t>
  </si>
  <si>
    <t>3.9</t>
  </si>
  <si>
    <t>917722IT128</t>
  </si>
  <si>
    <t>917722IT145</t>
  </si>
  <si>
    <t>917722IT056</t>
  </si>
  <si>
    <t>Score</t>
  </si>
  <si>
    <t>Percentage</t>
  </si>
  <si>
    <t>Course Content</t>
  </si>
  <si>
    <t>Course Outcome</t>
  </si>
  <si>
    <t>Content Delivery</t>
  </si>
  <si>
    <t>Assessment</t>
  </si>
  <si>
    <t>Overall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</si>
</sst>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9"/>
  <sheetViews>
    <sheetView tabSelected="1" topLeftCell="A24" workbookViewId="0">
      <selection activeCell="C49" sqref="C49"/>
    </sheetView>
  </sheetViews>
  <sheetFormatPr defaultRowHeight="15.75" x14ac:dyDescent="0.25"/>
  <sheetData>
    <row r="2" spans="1:22" x14ac:dyDescent="0.25">
      <c r="A2" t="s">
        <v>0</v>
      </c>
    </row>
    <row r="3" spans="1:22" x14ac:dyDescent="0.25">
      <c r="A3" t="s">
        <v>1</v>
      </c>
    </row>
    <row r="4" spans="1:22" x14ac:dyDescent="0.25">
      <c r="A4" t="s">
        <v>2</v>
      </c>
    </row>
    <row r="5" spans="1:22" x14ac:dyDescent="0.25">
      <c r="A5" t="s">
        <v>3</v>
      </c>
    </row>
    <row r="7" spans="1:22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</row>
    <row r="8" spans="1:22" x14ac:dyDescent="0.25">
      <c r="A8" t="s">
        <v>26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</row>
    <row r="9" spans="1:22" x14ac:dyDescent="0.25">
      <c r="A9" t="s">
        <v>27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</row>
    <row r="10" spans="1:22" x14ac:dyDescent="0.25">
      <c r="A10" t="s">
        <v>28</v>
      </c>
      <c r="B10" t="s">
        <v>29</v>
      </c>
      <c r="C10">
        <v>4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3</v>
      </c>
      <c r="L10">
        <v>3</v>
      </c>
      <c r="M10">
        <v>3</v>
      </c>
      <c r="N10">
        <v>2</v>
      </c>
      <c r="O10">
        <v>2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</row>
    <row r="11" spans="1:22" x14ac:dyDescent="0.25">
      <c r="A11" t="s">
        <v>30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</row>
    <row r="12" spans="1:22" x14ac:dyDescent="0.25">
      <c r="A12" t="s">
        <v>31</v>
      </c>
      <c r="B12" t="s">
        <v>32</v>
      </c>
      <c r="C12">
        <v>3</v>
      </c>
      <c r="D12">
        <v>3</v>
      </c>
      <c r="E12">
        <v>3</v>
      </c>
      <c r="F12">
        <v>3</v>
      </c>
      <c r="G12">
        <v>4</v>
      </c>
      <c r="H12">
        <v>3</v>
      </c>
      <c r="I12">
        <v>3</v>
      </c>
      <c r="J12">
        <v>3</v>
      </c>
      <c r="K12">
        <v>4</v>
      </c>
      <c r="L12">
        <v>3</v>
      </c>
      <c r="M12">
        <v>3</v>
      </c>
      <c r="N12">
        <v>4</v>
      </c>
      <c r="O12">
        <v>3</v>
      </c>
      <c r="P12">
        <v>3</v>
      </c>
      <c r="Q12">
        <v>4</v>
      </c>
      <c r="R12">
        <v>4</v>
      </c>
      <c r="S12">
        <v>3</v>
      </c>
      <c r="T12">
        <v>4</v>
      </c>
      <c r="U12">
        <v>3</v>
      </c>
      <c r="V12">
        <v>3</v>
      </c>
    </row>
    <row r="13" spans="1:22" x14ac:dyDescent="0.25">
      <c r="A13" t="s">
        <v>33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</row>
    <row r="14" spans="1:22" x14ac:dyDescent="0.25">
      <c r="A14" t="s">
        <v>34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</row>
    <row r="15" spans="1:22" x14ac:dyDescent="0.25">
      <c r="A15" t="s">
        <v>35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</row>
    <row r="16" spans="1:22" x14ac:dyDescent="0.25">
      <c r="A16" t="s">
        <v>36</v>
      </c>
      <c r="B16" t="s">
        <v>29</v>
      </c>
      <c r="C16">
        <v>3</v>
      </c>
      <c r="D16">
        <v>2</v>
      </c>
      <c r="E16">
        <v>2</v>
      </c>
      <c r="F16">
        <v>3</v>
      </c>
      <c r="G16">
        <v>4</v>
      </c>
      <c r="H16">
        <v>2</v>
      </c>
      <c r="I16">
        <v>3</v>
      </c>
      <c r="J16">
        <v>4</v>
      </c>
      <c r="K16">
        <v>2</v>
      </c>
      <c r="L16">
        <v>3</v>
      </c>
      <c r="M16">
        <v>4</v>
      </c>
      <c r="N16">
        <v>2</v>
      </c>
      <c r="O16">
        <v>3</v>
      </c>
      <c r="P16">
        <v>4</v>
      </c>
      <c r="Q16">
        <v>2</v>
      </c>
      <c r="R16">
        <v>1</v>
      </c>
      <c r="S16">
        <v>3</v>
      </c>
      <c r="T16">
        <v>4</v>
      </c>
      <c r="U16">
        <v>3</v>
      </c>
      <c r="V16">
        <v>4</v>
      </c>
    </row>
    <row r="17" spans="1:22" x14ac:dyDescent="0.25">
      <c r="A17" t="s">
        <v>37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</row>
    <row r="18" spans="1:22" x14ac:dyDescent="0.25">
      <c r="A18" t="s">
        <v>38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</row>
    <row r="19" spans="1:22" x14ac:dyDescent="0.25">
      <c r="A19" t="s">
        <v>39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</row>
    <row r="20" spans="1:22" x14ac:dyDescent="0.25">
      <c r="A20" t="s">
        <v>40</v>
      </c>
      <c r="B20" t="s">
        <v>41</v>
      </c>
      <c r="C20">
        <v>3</v>
      </c>
      <c r="D20">
        <v>4</v>
      </c>
      <c r="E20">
        <v>3</v>
      </c>
      <c r="F20">
        <v>4</v>
      </c>
      <c r="G20">
        <v>4</v>
      </c>
      <c r="H20">
        <v>4</v>
      </c>
      <c r="I20">
        <v>3</v>
      </c>
      <c r="J20">
        <v>4</v>
      </c>
      <c r="K20">
        <v>4</v>
      </c>
      <c r="L20">
        <v>3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</row>
    <row r="21" spans="1:22" x14ac:dyDescent="0.25">
      <c r="A21" t="s">
        <v>42</v>
      </c>
      <c r="B21">
        <v>3</v>
      </c>
      <c r="C21">
        <v>3</v>
      </c>
      <c r="D21">
        <v>3</v>
      </c>
      <c r="E21">
        <v>3</v>
      </c>
      <c r="F21">
        <v>3</v>
      </c>
      <c r="G21">
        <v>2</v>
      </c>
      <c r="H21">
        <v>3</v>
      </c>
      <c r="I21">
        <v>4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</row>
    <row r="22" spans="1:22" x14ac:dyDescent="0.25">
      <c r="A22" t="s">
        <v>43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</row>
    <row r="23" spans="1:22" x14ac:dyDescent="0.25">
      <c r="A23" t="s">
        <v>44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</row>
    <row r="24" spans="1:22" x14ac:dyDescent="0.25">
      <c r="A24" t="s">
        <v>45</v>
      </c>
      <c r="B24" t="s">
        <v>46</v>
      </c>
      <c r="C24">
        <v>3</v>
      </c>
      <c r="D24">
        <v>3</v>
      </c>
      <c r="E24">
        <v>3</v>
      </c>
      <c r="F24">
        <v>3</v>
      </c>
      <c r="G24">
        <v>2</v>
      </c>
      <c r="H24">
        <v>2</v>
      </c>
      <c r="I24">
        <v>2</v>
      </c>
      <c r="J24">
        <v>2</v>
      </c>
      <c r="K24">
        <v>2</v>
      </c>
      <c r="L24">
        <v>3</v>
      </c>
      <c r="M24">
        <v>3</v>
      </c>
      <c r="N24">
        <v>3</v>
      </c>
      <c r="O24">
        <v>3</v>
      </c>
      <c r="P24">
        <v>3</v>
      </c>
      <c r="Q24">
        <v>2</v>
      </c>
      <c r="R24">
        <v>2</v>
      </c>
      <c r="S24">
        <v>3</v>
      </c>
      <c r="T24">
        <v>2</v>
      </c>
      <c r="U24">
        <v>3</v>
      </c>
      <c r="V24">
        <v>2</v>
      </c>
    </row>
    <row r="25" spans="1:22" x14ac:dyDescent="0.25">
      <c r="A25" t="s">
        <v>47</v>
      </c>
      <c r="B25" t="s">
        <v>46</v>
      </c>
      <c r="C25">
        <v>3</v>
      </c>
      <c r="D25">
        <v>2</v>
      </c>
      <c r="E25">
        <v>3</v>
      </c>
      <c r="F25">
        <v>2</v>
      </c>
      <c r="G25">
        <v>3</v>
      </c>
      <c r="H25">
        <v>2</v>
      </c>
      <c r="I25">
        <v>2</v>
      </c>
      <c r="J25">
        <v>3</v>
      </c>
      <c r="K25">
        <v>2</v>
      </c>
      <c r="L25">
        <v>3</v>
      </c>
      <c r="M25">
        <v>2</v>
      </c>
      <c r="N25">
        <v>3</v>
      </c>
      <c r="O25">
        <v>2</v>
      </c>
      <c r="P25">
        <v>3</v>
      </c>
      <c r="Q25">
        <v>2</v>
      </c>
      <c r="R25">
        <v>3</v>
      </c>
      <c r="S25">
        <v>2</v>
      </c>
      <c r="T25">
        <v>3</v>
      </c>
      <c r="U25">
        <v>2</v>
      </c>
      <c r="V25">
        <v>3</v>
      </c>
    </row>
    <row r="26" spans="1:22" x14ac:dyDescent="0.25">
      <c r="A26" t="s">
        <v>48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</row>
    <row r="27" spans="1:22" x14ac:dyDescent="0.25">
      <c r="A27" t="s">
        <v>49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</row>
    <row r="28" spans="1:22" x14ac:dyDescent="0.25">
      <c r="A28" t="s">
        <v>50</v>
      </c>
      <c r="B28" t="s">
        <v>51</v>
      </c>
      <c r="C28">
        <v>3</v>
      </c>
      <c r="D28">
        <v>4</v>
      </c>
      <c r="E28">
        <v>4</v>
      </c>
      <c r="F28">
        <v>3</v>
      </c>
      <c r="G28">
        <v>4</v>
      </c>
      <c r="H28">
        <v>3</v>
      </c>
      <c r="I28">
        <v>4</v>
      </c>
      <c r="J28">
        <v>3</v>
      </c>
      <c r="K28">
        <v>4</v>
      </c>
      <c r="L28">
        <v>4</v>
      </c>
      <c r="M28">
        <v>4</v>
      </c>
      <c r="N28">
        <v>4</v>
      </c>
      <c r="O28">
        <v>3</v>
      </c>
      <c r="P28">
        <v>4</v>
      </c>
      <c r="Q28">
        <v>4</v>
      </c>
      <c r="R28">
        <v>4</v>
      </c>
      <c r="S28">
        <v>3</v>
      </c>
      <c r="T28">
        <v>4</v>
      </c>
      <c r="U28">
        <v>3</v>
      </c>
      <c r="V28">
        <v>4</v>
      </c>
    </row>
    <row r="29" spans="1:22" x14ac:dyDescent="0.25">
      <c r="A29" t="s">
        <v>52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</row>
    <row r="30" spans="1:22" x14ac:dyDescent="0.25">
      <c r="A30" t="s">
        <v>53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</row>
    <row r="31" spans="1:22" x14ac:dyDescent="0.25">
      <c r="A31" t="s">
        <v>54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</row>
    <row r="32" spans="1:22" x14ac:dyDescent="0.25">
      <c r="A32" t="s">
        <v>55</v>
      </c>
      <c r="B32" t="s">
        <v>56</v>
      </c>
      <c r="C32">
        <v>3</v>
      </c>
      <c r="D32">
        <v>3</v>
      </c>
      <c r="E32">
        <v>3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3</v>
      </c>
      <c r="R32">
        <v>3</v>
      </c>
      <c r="S32">
        <v>3</v>
      </c>
      <c r="T32">
        <v>3</v>
      </c>
      <c r="U32">
        <v>2</v>
      </c>
      <c r="V32">
        <v>2</v>
      </c>
    </row>
    <row r="33" spans="1:22" x14ac:dyDescent="0.25">
      <c r="A33" t="s">
        <v>57</v>
      </c>
      <c r="B33" t="s">
        <v>58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2</v>
      </c>
      <c r="J33">
        <v>3</v>
      </c>
      <c r="K33">
        <v>3</v>
      </c>
      <c r="L33">
        <v>3</v>
      </c>
      <c r="M33">
        <v>3</v>
      </c>
      <c r="N33">
        <v>3</v>
      </c>
      <c r="O33">
        <v>4</v>
      </c>
      <c r="P33">
        <v>3</v>
      </c>
      <c r="Q33">
        <v>3</v>
      </c>
      <c r="R33">
        <v>4</v>
      </c>
      <c r="S33">
        <v>3</v>
      </c>
      <c r="T33">
        <v>4</v>
      </c>
      <c r="U33">
        <v>3</v>
      </c>
      <c r="V33">
        <v>4</v>
      </c>
    </row>
    <row r="34" spans="1:22" x14ac:dyDescent="0.25">
      <c r="A34" t="s">
        <v>59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</row>
    <row r="35" spans="1:22" x14ac:dyDescent="0.25">
      <c r="A35" t="s">
        <v>60</v>
      </c>
      <c r="B35">
        <v>4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</row>
    <row r="36" spans="1:22" x14ac:dyDescent="0.25">
      <c r="A36" t="s">
        <v>61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</row>
    <row r="37" spans="1:22" x14ac:dyDescent="0.25">
      <c r="A37" t="s">
        <v>62</v>
      </c>
      <c r="B37" t="s">
        <v>63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3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</row>
    <row r="38" spans="1:22" x14ac:dyDescent="0.25">
      <c r="A38" t="s">
        <v>64</v>
      </c>
      <c r="B38" t="s">
        <v>65</v>
      </c>
      <c r="C38">
        <v>4</v>
      </c>
      <c r="D38">
        <v>4</v>
      </c>
      <c r="E38">
        <v>3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3</v>
      </c>
      <c r="N38">
        <v>4</v>
      </c>
      <c r="O38">
        <v>4</v>
      </c>
      <c r="P38">
        <v>4</v>
      </c>
      <c r="Q38">
        <v>3</v>
      </c>
      <c r="R38">
        <v>4</v>
      </c>
      <c r="S38">
        <v>4</v>
      </c>
      <c r="T38">
        <v>4</v>
      </c>
      <c r="U38">
        <v>4</v>
      </c>
      <c r="V38">
        <v>4</v>
      </c>
    </row>
    <row r="39" spans="1:22" x14ac:dyDescent="0.25">
      <c r="A39" t="s">
        <v>66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</row>
    <row r="40" spans="1:22" x14ac:dyDescent="0.25">
      <c r="A40" t="s">
        <v>67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</row>
    <row r="41" spans="1:22" x14ac:dyDescent="0.25">
      <c r="A41" t="s">
        <v>68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</row>
    <row r="42" spans="1:22" x14ac:dyDescent="0.25">
      <c r="B42">
        <f>AVERAGE(B6:B41)</f>
        <v>3.7391304347826089</v>
      </c>
      <c r="C42">
        <f t="shared" ref="C42:M42" si="0">AVERAGE(C6:C41)</f>
        <v>3.5882352941176472</v>
      </c>
      <c r="D42">
        <f t="shared" si="0"/>
        <v>3.5588235294117645</v>
      </c>
      <c r="E42">
        <f t="shared" si="0"/>
        <v>3.5294117647058822</v>
      </c>
      <c r="F42">
        <f t="shared" si="0"/>
        <v>3.5294117647058822</v>
      </c>
      <c r="G42">
        <f t="shared" si="0"/>
        <v>3.5882352941176472</v>
      </c>
      <c r="H42">
        <f t="shared" si="0"/>
        <v>3.4705882352941178</v>
      </c>
      <c r="I42">
        <f t="shared" si="0"/>
        <v>3.5</v>
      </c>
      <c r="J42">
        <f t="shared" si="0"/>
        <v>3.5294117647058822</v>
      </c>
      <c r="K42">
        <f t="shared" si="0"/>
        <v>3.5294117647058822</v>
      </c>
      <c r="L42">
        <f t="shared" si="0"/>
        <v>3.5588235294117645</v>
      </c>
      <c r="M42">
        <f t="shared" si="0"/>
        <v>3.5588235294117645</v>
      </c>
      <c r="N42">
        <f>AVERAGE(N6:N41)</f>
        <v>3.5588235294117645</v>
      </c>
      <c r="O42">
        <f t="shared" ref="O42:V42" si="1">AVERAGE(O6:O41)</f>
        <v>3.5</v>
      </c>
      <c r="P42">
        <f t="shared" si="1"/>
        <v>3.6176470588235294</v>
      </c>
      <c r="Q42">
        <f t="shared" si="1"/>
        <v>3.5294117647058822</v>
      </c>
      <c r="R42">
        <f t="shared" si="1"/>
        <v>3.5882352941176472</v>
      </c>
      <c r="S42">
        <f t="shared" si="1"/>
        <v>3.5588235294117645</v>
      </c>
      <c r="T42">
        <f t="shared" si="1"/>
        <v>3.6470588235294117</v>
      </c>
      <c r="U42">
        <f t="shared" si="1"/>
        <v>3.5294117647058822</v>
      </c>
      <c r="V42">
        <f t="shared" si="1"/>
        <v>3.6176470588235294</v>
      </c>
    </row>
    <row r="44" spans="1:22" x14ac:dyDescent="0.25">
      <c r="A44" s="1"/>
      <c r="B44" s="1" t="s">
        <v>69</v>
      </c>
      <c r="C44" s="1" t="s">
        <v>70</v>
      </c>
    </row>
    <row r="45" spans="1:22" x14ac:dyDescent="0.25">
      <c r="A45" s="1" t="s">
        <v>71</v>
      </c>
      <c r="B45" s="1">
        <f>AVERAGE(C42:G42)</f>
        <v>3.5588235294117645</v>
      </c>
      <c r="C45" s="2">
        <f>(B45/4)*100</f>
        <v>88.970588235294116</v>
      </c>
    </row>
    <row r="46" spans="1:22" x14ac:dyDescent="0.25">
      <c r="A46" s="1" t="s">
        <v>72</v>
      </c>
      <c r="B46" s="1">
        <f>AVERAGE(H42,T42:U42)</f>
        <v>3.5490196078431371</v>
      </c>
      <c r="C46" s="2">
        <f t="shared" ref="C46:C48" si="2">(B46/4)*100</f>
        <v>88.725490196078425</v>
      </c>
    </row>
    <row r="47" spans="1:22" x14ac:dyDescent="0.25">
      <c r="A47" s="1" t="s">
        <v>73</v>
      </c>
      <c r="B47" s="1">
        <f>AVERAGE(I42:N42)</f>
        <v>3.5392156862745097</v>
      </c>
      <c r="C47" s="2">
        <f t="shared" si="2"/>
        <v>88.480392156862735</v>
      </c>
    </row>
    <row r="48" spans="1:22" x14ac:dyDescent="0.25">
      <c r="A48" s="1" t="s">
        <v>74</v>
      </c>
      <c r="B48" s="1">
        <f>AVERAGE(O42:S42)</f>
        <v>3.5588235294117645</v>
      </c>
      <c r="C48" s="2">
        <f t="shared" si="2"/>
        <v>88.970588235294116</v>
      </c>
    </row>
    <row r="49" spans="1:3" x14ac:dyDescent="0.25">
      <c r="A49" s="1" t="s">
        <v>75</v>
      </c>
      <c r="B49" s="1"/>
      <c r="C49" s="2">
        <f>AVERAGE(C45:C48)</f>
        <v>88.786764705882348</v>
      </c>
    </row>
  </sheetData>
  <pageMargins left="0.7" right="0.7" top="0.75" bottom="0.75" header="0.3" footer="0.3"/>
  <ignoredErrors>
    <ignoredError sqref="A2:A41 D2:D41 E2:E41 F2:F41 G2:G41 H2:H41 I2:I41 J2:J41 K2:K41 L2:L41 M2:M41 N2:N41 O2:O41 P2:P41 Q2:Q41 R2:R41 S2:S41 T2:T41 U2:U41 V2:V41 B2:C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Angeline</cp:lastModifiedBy>
  <dcterms:modified xsi:type="dcterms:W3CDTF">2026-01-14T10:17:42Z</dcterms:modified>
</cp:coreProperties>
</file>